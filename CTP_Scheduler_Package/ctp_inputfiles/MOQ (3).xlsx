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Stock scheduling data/"/>
    </mc:Choice>
  </mc:AlternateContent>
  <xr:revisionPtr revIDLastSave="0" documentId="8_{A4504B97-C466-4D87-97C3-C6A2EA821919}" xr6:coauthVersionLast="47" xr6:coauthVersionMax="47" xr10:uidLastSave="{00000000-0000-0000-0000-000000000000}"/>
  <bookViews>
    <workbookView xWindow="-108" yWindow="-108" windowWidth="23256" windowHeight="12456" xr2:uid="{8AED3A36-D9E7-48E9-9E7C-392F7E81B322}"/>
  </bookViews>
  <sheets>
    <sheet name="PCR" sheetId="1" r:id="rId1"/>
    <sheet name="TB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F27" i="2"/>
  <c r="F26" i="2"/>
  <c r="F25" i="2"/>
  <c r="F24" i="2"/>
  <c r="F23" i="2"/>
  <c r="F24" i="1"/>
  <c r="F23" i="1"/>
  <c r="F22" i="1"/>
  <c r="F21" i="1"/>
  <c r="F20" i="1"/>
  <c r="F19" i="1"/>
</calcChain>
</file>

<file path=xl/sharedStrings.xml><?xml version="1.0" encoding="utf-8"?>
<sst xmlns="http://schemas.openxmlformats.org/spreadsheetml/2006/main" count="129" uniqueCount="61">
  <si>
    <t>Item Type</t>
  </si>
  <si>
    <t>Minimum Order Qty</t>
  </si>
  <si>
    <t>Maximum Order Qty</t>
  </si>
  <si>
    <t>UOM</t>
  </si>
  <si>
    <t>STEEL SPOOL LENGTH</t>
  </si>
  <si>
    <t>Length in M</t>
  </si>
  <si>
    <t>FABRIC DIPPED ROLL LENGTH</t>
  </si>
  <si>
    <t>MASTER COMPOUND</t>
  </si>
  <si>
    <t xml:space="preserve">3 Batches </t>
  </si>
  <si>
    <t>KG</t>
  </si>
  <si>
    <t>1036S53800</t>
  </si>
  <si>
    <t>FINAL COMPOUND</t>
  </si>
  <si>
    <t>1036S33500</t>
  </si>
  <si>
    <t>Calendar Roll (Spool)</t>
  </si>
  <si>
    <t>M</t>
  </si>
  <si>
    <t>1036S31100</t>
  </si>
  <si>
    <t>Calendar Roll (Dipped Cord)</t>
  </si>
  <si>
    <t xml:space="preserve">M </t>
  </si>
  <si>
    <t>1036S30200</t>
  </si>
  <si>
    <t>Bead Bundle</t>
  </si>
  <si>
    <t>NOS</t>
  </si>
  <si>
    <t>1036S56400</t>
  </si>
  <si>
    <t>NA</t>
  </si>
  <si>
    <t>Bead Apex</t>
  </si>
  <si>
    <t>1036S32200</t>
  </si>
  <si>
    <t>Steel Belt</t>
  </si>
  <si>
    <t>1036S55000</t>
  </si>
  <si>
    <t>Tread</t>
  </si>
  <si>
    <t>1036S56500</t>
  </si>
  <si>
    <t>103125EW00</t>
  </si>
  <si>
    <t>SideWall</t>
  </si>
  <si>
    <t>1036S34500</t>
  </si>
  <si>
    <t>Inner Liner</t>
  </si>
  <si>
    <t>1036X31100</t>
  </si>
  <si>
    <t>Cap Strip</t>
  </si>
  <si>
    <t>1036S42100</t>
  </si>
  <si>
    <t>Ply</t>
  </si>
  <si>
    <t>103723EB00</t>
  </si>
  <si>
    <t>for mixers: 2 final mixers: 270F and 310F , rest 4 are master mixers</t>
  </si>
  <si>
    <t>Machine code</t>
  </si>
  <si>
    <t>Machine name</t>
  </si>
  <si>
    <t>Minimum Run Qty(in batches)</t>
  </si>
  <si>
    <t>Minimum Run Qty(in KG)</t>
  </si>
  <si>
    <t>Maximum Run Qty(in batches)</t>
  </si>
  <si>
    <t>Maximum Run Qty(in KG)</t>
  </si>
  <si>
    <t>270M</t>
  </si>
  <si>
    <t>270F</t>
  </si>
  <si>
    <t>440M</t>
  </si>
  <si>
    <t>310F</t>
  </si>
  <si>
    <t>430-1</t>
  </si>
  <si>
    <t>430-2</t>
  </si>
  <si>
    <t>`</t>
  </si>
  <si>
    <t>Batches</t>
  </si>
  <si>
    <t>CALANDARED ROLL</t>
  </si>
  <si>
    <t>Spool/Dipped Roll  length(300)</t>
  </si>
  <si>
    <t>Rubberized Ply</t>
  </si>
  <si>
    <t>Nos</t>
  </si>
  <si>
    <t>Wound Bead</t>
  </si>
  <si>
    <t>Belt</t>
  </si>
  <si>
    <t>Chaffer</t>
  </si>
  <si>
    <t>Shoulder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</si>
</sst>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ADD1-7896-4637-AB04-C632FBB0144C}">
  <dimension ref="A1:O36"/>
  <sheetViews>
    <sheetView tabSelected="1" workbookViewId="0">
      <selection activeCell="F9" sqref="F9"/>
    </sheetView>
  </sheetViews>
  <sheetFormatPr defaultRowHeight="14.45"/>
  <cols>
    <col min="1" max="1" width="26" customWidth="1"/>
    <col min="2" max="2" width="26" style="6" bestFit="1" customWidth="1"/>
    <col min="3" max="3" width="25.28515625" bestFit="1" customWidth="1"/>
    <col min="4" max="4" width="21" bestFit="1" customWidth="1"/>
    <col min="5" max="5" width="25.7109375" bestFit="1" customWidth="1"/>
    <col min="6" max="6" width="22.5703125" customWidth="1"/>
    <col min="7" max="7" width="19" bestFit="1" customWidth="1"/>
    <col min="12" max="12" width="19" bestFit="1" customWidth="1"/>
    <col min="13" max="13" width="11" customWidth="1"/>
    <col min="14" max="14" width="25.5703125" bestFit="1" customWidth="1"/>
    <col min="15" max="15" width="10.42578125" style="6" bestFit="1" customWidth="1"/>
  </cols>
  <sheetData>
    <row r="1" spans="1:15">
      <c r="A1" s="1" t="s">
        <v>0</v>
      </c>
      <c r="B1" s="4" t="s">
        <v>1</v>
      </c>
      <c r="C1" s="1" t="s">
        <v>2</v>
      </c>
      <c r="D1" s="1" t="s">
        <v>3</v>
      </c>
      <c r="L1" s="13" t="s">
        <v>4</v>
      </c>
      <c r="M1" s="13" t="s">
        <v>5</v>
      </c>
      <c r="N1" s="13" t="s">
        <v>6</v>
      </c>
      <c r="O1" s="14" t="s">
        <v>5</v>
      </c>
    </row>
    <row r="2" spans="1:15">
      <c r="A2" s="2" t="s">
        <v>7</v>
      </c>
      <c r="B2" s="5" t="s">
        <v>8</v>
      </c>
      <c r="C2" s="2"/>
      <c r="D2" s="2" t="s">
        <v>9</v>
      </c>
      <c r="L2" s="18" t="s">
        <v>10</v>
      </c>
      <c r="M2" s="18">
        <v>6000</v>
      </c>
      <c r="N2" s="18">
        <v>1031233800</v>
      </c>
      <c r="O2" s="12">
        <v>2000</v>
      </c>
    </row>
    <row r="3" spans="1:15">
      <c r="A3" s="2" t="s">
        <v>11</v>
      </c>
      <c r="B3" s="5" t="s">
        <v>8</v>
      </c>
      <c r="C3" s="2"/>
      <c r="D3" s="2" t="s">
        <v>9</v>
      </c>
      <c r="F3" s="3"/>
      <c r="G3" s="3"/>
      <c r="L3" s="18" t="s">
        <v>12</v>
      </c>
      <c r="M3" s="18">
        <v>6400</v>
      </c>
      <c r="N3" s="18">
        <v>1032281000</v>
      </c>
      <c r="O3" s="12">
        <v>3000</v>
      </c>
    </row>
    <row r="4" spans="1:15">
      <c r="A4" s="2" t="s">
        <v>13</v>
      </c>
      <c r="B4" s="5">
        <v>300</v>
      </c>
      <c r="C4" s="2"/>
      <c r="D4" s="2" t="s">
        <v>14</v>
      </c>
      <c r="L4" s="18" t="s">
        <v>15</v>
      </c>
      <c r="M4" s="18">
        <v>7000</v>
      </c>
      <c r="N4" s="18">
        <v>1032281100</v>
      </c>
      <c r="O4" s="12">
        <v>500</v>
      </c>
    </row>
    <row r="5" spans="1:15">
      <c r="A5" s="2" t="s">
        <v>16</v>
      </c>
      <c r="B5" s="5">
        <v>300</v>
      </c>
      <c r="C5" s="2"/>
      <c r="D5" s="2" t="s">
        <v>17</v>
      </c>
      <c r="L5" s="18" t="s">
        <v>18</v>
      </c>
      <c r="M5" s="18">
        <v>8000</v>
      </c>
      <c r="N5" s="18">
        <v>1034287600</v>
      </c>
      <c r="O5" s="12">
        <v>2000</v>
      </c>
    </row>
    <row r="6" spans="1:15">
      <c r="A6" s="2" t="s">
        <v>19</v>
      </c>
      <c r="B6" s="5">
        <v>1000</v>
      </c>
      <c r="C6" s="2"/>
      <c r="D6" s="2" t="s">
        <v>20</v>
      </c>
      <c r="L6" s="18" t="s">
        <v>21</v>
      </c>
      <c r="M6" s="18" t="s">
        <v>22</v>
      </c>
      <c r="N6" s="18">
        <v>1034284300</v>
      </c>
      <c r="O6" s="12">
        <v>2000</v>
      </c>
    </row>
    <row r="7" spans="1:15">
      <c r="A7" s="2" t="s">
        <v>23</v>
      </c>
      <c r="B7" s="5">
        <v>1000</v>
      </c>
      <c r="C7" s="2"/>
      <c r="D7" s="2" t="s">
        <v>20</v>
      </c>
      <c r="L7" s="18" t="s">
        <v>24</v>
      </c>
      <c r="M7" s="18" t="s">
        <v>22</v>
      </c>
      <c r="N7" s="18">
        <v>1034301600</v>
      </c>
      <c r="O7" s="12">
        <v>2000</v>
      </c>
    </row>
    <row r="8" spans="1:15">
      <c r="A8" s="2" t="s">
        <v>25</v>
      </c>
      <c r="B8" s="16">
        <v>100</v>
      </c>
      <c r="C8" s="2"/>
      <c r="D8" s="2" t="s">
        <v>20</v>
      </c>
      <c r="L8" s="18" t="s">
        <v>26</v>
      </c>
      <c r="M8" s="18" t="s">
        <v>22</v>
      </c>
      <c r="N8" s="18">
        <v>1034307600</v>
      </c>
      <c r="O8" s="12">
        <v>2000</v>
      </c>
    </row>
    <row r="9" spans="1:15">
      <c r="A9" s="2" t="s">
        <v>27</v>
      </c>
      <c r="B9" s="16">
        <v>300</v>
      </c>
      <c r="C9" s="2"/>
      <c r="D9" s="2" t="s">
        <v>14</v>
      </c>
      <c r="L9" s="18" t="s">
        <v>28</v>
      </c>
      <c r="M9" s="18">
        <v>5300</v>
      </c>
      <c r="N9" s="18" t="s">
        <v>29</v>
      </c>
      <c r="O9" s="12">
        <v>2000</v>
      </c>
    </row>
    <row r="10" spans="1:15">
      <c r="A10" s="2" t="s">
        <v>30</v>
      </c>
      <c r="B10" s="5">
        <v>130</v>
      </c>
      <c r="C10" s="2"/>
      <c r="D10" s="2" t="s">
        <v>14</v>
      </c>
      <c r="L10" s="18" t="s">
        <v>31</v>
      </c>
      <c r="M10" s="18">
        <v>12600</v>
      </c>
      <c r="N10" s="18">
        <v>1034252300</v>
      </c>
      <c r="O10" s="12"/>
    </row>
    <row r="11" spans="1:15">
      <c r="A11" s="2" t="s">
        <v>32</v>
      </c>
      <c r="B11" s="5">
        <v>140</v>
      </c>
      <c r="C11" s="2"/>
      <c r="D11" s="2" t="s">
        <v>14</v>
      </c>
      <c r="L11" s="18" t="s">
        <v>33</v>
      </c>
      <c r="M11" s="18">
        <v>3500</v>
      </c>
      <c r="N11" s="18">
        <v>1035422500</v>
      </c>
      <c r="O11" s="12">
        <v>1200</v>
      </c>
    </row>
    <row r="12" spans="1:15">
      <c r="A12" s="2" t="s">
        <v>34</v>
      </c>
      <c r="B12" s="5">
        <v>1800</v>
      </c>
      <c r="C12" s="2"/>
      <c r="D12" s="2" t="s">
        <v>14</v>
      </c>
      <c r="L12" s="18" t="s">
        <v>35</v>
      </c>
      <c r="M12" s="18">
        <v>8000</v>
      </c>
      <c r="N12" s="18">
        <v>1035161200</v>
      </c>
      <c r="O12" s="12"/>
    </row>
    <row r="13" spans="1:15">
      <c r="A13" s="2" t="s">
        <v>36</v>
      </c>
      <c r="B13" s="17">
        <f>350/1.61</f>
        <v>217.39130434782606</v>
      </c>
      <c r="C13" s="2"/>
      <c r="D13" s="2" t="s">
        <v>20</v>
      </c>
      <c r="L13" s="7"/>
      <c r="M13" s="7"/>
      <c r="N13" s="18" t="s">
        <v>37</v>
      </c>
      <c r="O13" s="12"/>
    </row>
    <row r="14" spans="1:15">
      <c r="L14" s="7"/>
      <c r="M14" s="7"/>
      <c r="N14" s="18">
        <v>1034284200</v>
      </c>
      <c r="O14" s="12" t="s">
        <v>22</v>
      </c>
    </row>
    <row r="16" spans="1:15">
      <c r="A16" s="3" t="s">
        <v>38</v>
      </c>
    </row>
    <row r="18" spans="1:6">
      <c r="A18" t="s">
        <v>39</v>
      </c>
      <c r="B18" s="6" t="s">
        <v>40</v>
      </c>
      <c r="C18" t="s">
        <v>41</v>
      </c>
      <c r="D18" t="s">
        <v>42</v>
      </c>
      <c r="E18" t="s">
        <v>43</v>
      </c>
      <c r="F18" t="s">
        <v>44</v>
      </c>
    </row>
    <row r="19" spans="1:6">
      <c r="A19">
        <v>101</v>
      </c>
      <c r="B19" s="6" t="s">
        <v>45</v>
      </c>
      <c r="C19">
        <v>1</v>
      </c>
      <c r="D19">
        <v>180</v>
      </c>
      <c r="E19">
        <v>50</v>
      </c>
      <c r="F19">
        <f>50*180</f>
        <v>9000</v>
      </c>
    </row>
    <row r="20" spans="1:6">
      <c r="A20">
        <v>102</v>
      </c>
      <c r="B20" s="6" t="s">
        <v>46</v>
      </c>
      <c r="C20">
        <v>1</v>
      </c>
      <c r="D20">
        <v>220</v>
      </c>
      <c r="E20">
        <v>78</v>
      </c>
      <c r="F20">
        <f>78*220</f>
        <v>17160</v>
      </c>
    </row>
    <row r="21" spans="1:6">
      <c r="A21">
        <v>103</v>
      </c>
      <c r="B21" s="6" t="s">
        <v>47</v>
      </c>
      <c r="C21">
        <v>1</v>
      </c>
      <c r="D21">
        <v>350</v>
      </c>
      <c r="E21">
        <v>45</v>
      </c>
      <c r="F21">
        <f>D21*E21</f>
        <v>15750</v>
      </c>
    </row>
    <row r="22" spans="1:6">
      <c r="A22">
        <v>104</v>
      </c>
      <c r="B22" s="6" t="s">
        <v>48</v>
      </c>
      <c r="C22">
        <v>1</v>
      </c>
      <c r="D22">
        <v>230</v>
      </c>
      <c r="E22">
        <v>60</v>
      </c>
      <c r="F22">
        <f>D22*E22</f>
        <v>13800</v>
      </c>
    </row>
    <row r="23" spans="1:6">
      <c r="A23">
        <v>105</v>
      </c>
      <c r="B23" s="6" t="s">
        <v>49</v>
      </c>
      <c r="C23">
        <v>1</v>
      </c>
      <c r="D23">
        <v>285</v>
      </c>
      <c r="E23">
        <v>51</v>
      </c>
      <c r="F23">
        <f>D23*E23</f>
        <v>14535</v>
      </c>
    </row>
    <row r="24" spans="1:6">
      <c r="A24">
        <v>106</v>
      </c>
      <c r="B24" s="6" t="s">
        <v>50</v>
      </c>
      <c r="C24">
        <v>1</v>
      </c>
      <c r="D24">
        <v>350</v>
      </c>
      <c r="E24">
        <v>30</v>
      </c>
      <c r="F24">
        <f>D24*E24</f>
        <v>10500</v>
      </c>
    </row>
    <row r="36" spans="2:2">
      <c r="B36" s="6" t="s">
        <v>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C530-F5E0-4517-8BEC-114731AB6616}">
  <dimension ref="A1:I27"/>
  <sheetViews>
    <sheetView workbookViewId="0">
      <selection activeCell="F20" sqref="F20"/>
    </sheetView>
  </sheetViews>
  <sheetFormatPr defaultRowHeight="14.45"/>
  <cols>
    <col min="1" max="1" width="20.28515625" bestFit="1" customWidth="1"/>
    <col min="2" max="2" width="26" style="6" bestFit="1" customWidth="1"/>
    <col min="3" max="3" width="16.85546875" customWidth="1"/>
    <col min="4" max="4" width="22.140625" customWidth="1"/>
    <col min="5" max="5" width="30.28515625" customWidth="1"/>
    <col min="6" max="6" width="26.42578125" customWidth="1"/>
    <col min="7" max="7" width="19" bestFit="1" customWidth="1"/>
    <col min="8" max="8" width="25.5703125" bestFit="1" customWidth="1"/>
    <col min="9" max="9" width="16.28515625" customWidth="1"/>
  </cols>
  <sheetData>
    <row r="1" spans="1:9" ht="28.9">
      <c r="A1" s="8" t="s">
        <v>0</v>
      </c>
      <c r="B1" s="9" t="s">
        <v>1</v>
      </c>
      <c r="C1" s="8" t="s">
        <v>2</v>
      </c>
      <c r="D1" s="8" t="s">
        <v>3</v>
      </c>
    </row>
    <row r="2" spans="1:9">
      <c r="A2" s="10" t="s">
        <v>7</v>
      </c>
      <c r="B2" s="11">
        <v>3</v>
      </c>
      <c r="C2" s="10"/>
      <c r="D2" s="15" t="s">
        <v>52</v>
      </c>
      <c r="F2" s="13" t="s">
        <v>4</v>
      </c>
      <c r="G2" s="13" t="s">
        <v>5</v>
      </c>
      <c r="H2" s="13" t="s">
        <v>6</v>
      </c>
      <c r="I2" s="14" t="s">
        <v>5</v>
      </c>
    </row>
    <row r="3" spans="1:9">
      <c r="A3" s="10" t="s">
        <v>11</v>
      </c>
      <c r="B3" s="11">
        <v>3</v>
      </c>
      <c r="C3" s="10"/>
      <c r="D3" s="15" t="s">
        <v>52</v>
      </c>
      <c r="F3" s="18" t="s">
        <v>10</v>
      </c>
      <c r="G3" s="18">
        <v>6000</v>
      </c>
      <c r="H3" s="18">
        <v>1031233800</v>
      </c>
      <c r="I3" s="12">
        <v>2000</v>
      </c>
    </row>
    <row r="4" spans="1:9">
      <c r="A4" s="10" t="s">
        <v>53</v>
      </c>
      <c r="B4" s="5" t="s">
        <v>54</v>
      </c>
      <c r="C4" s="7"/>
      <c r="D4" s="10" t="s">
        <v>14</v>
      </c>
      <c r="F4" s="18" t="s">
        <v>12</v>
      </c>
      <c r="G4" s="18">
        <v>6400</v>
      </c>
      <c r="H4" s="18">
        <v>1032281000</v>
      </c>
      <c r="I4" s="12">
        <v>3000</v>
      </c>
    </row>
    <row r="5" spans="1:9">
      <c r="A5" s="10" t="s">
        <v>55</v>
      </c>
      <c r="B5" s="11">
        <v>140</v>
      </c>
      <c r="C5" s="7"/>
      <c r="D5" s="10" t="s">
        <v>56</v>
      </c>
      <c r="F5" s="18" t="s">
        <v>15</v>
      </c>
      <c r="G5" s="18">
        <v>7000</v>
      </c>
      <c r="H5" s="18">
        <v>1032281100</v>
      </c>
      <c r="I5" s="12">
        <v>500</v>
      </c>
    </row>
    <row r="6" spans="1:9">
      <c r="A6" s="10" t="s">
        <v>23</v>
      </c>
      <c r="B6" s="11">
        <v>33</v>
      </c>
      <c r="C6" s="7"/>
      <c r="D6" s="10" t="s">
        <v>56</v>
      </c>
      <c r="F6" s="18" t="s">
        <v>18</v>
      </c>
      <c r="G6" s="18">
        <v>8000</v>
      </c>
      <c r="H6" s="18">
        <v>1034287600</v>
      </c>
      <c r="I6" s="12">
        <v>2000</v>
      </c>
    </row>
    <row r="7" spans="1:9">
      <c r="A7" s="10" t="s">
        <v>57</v>
      </c>
      <c r="B7" s="11">
        <v>200</v>
      </c>
      <c r="C7" s="7"/>
      <c r="D7" s="10" t="s">
        <v>56</v>
      </c>
      <c r="F7" s="18" t="s">
        <v>21</v>
      </c>
      <c r="G7" s="18" t="s">
        <v>22</v>
      </c>
      <c r="H7" s="18">
        <v>1034284300</v>
      </c>
      <c r="I7" s="12">
        <v>2000</v>
      </c>
    </row>
    <row r="8" spans="1:9">
      <c r="A8" s="10" t="s">
        <v>58</v>
      </c>
      <c r="B8" s="11">
        <v>230</v>
      </c>
      <c r="C8" s="7"/>
      <c r="D8" s="10" t="s">
        <v>14</v>
      </c>
      <c r="F8" s="18" t="s">
        <v>24</v>
      </c>
      <c r="G8" s="18" t="s">
        <v>22</v>
      </c>
      <c r="H8" s="18">
        <v>1034301600</v>
      </c>
      <c r="I8" s="12">
        <v>2000</v>
      </c>
    </row>
    <row r="9" spans="1:9">
      <c r="A9" s="10" t="s">
        <v>27</v>
      </c>
      <c r="B9" s="11">
        <v>38</v>
      </c>
      <c r="C9" s="7"/>
      <c r="D9" s="10" t="s">
        <v>56</v>
      </c>
      <c r="F9" s="18" t="s">
        <v>26</v>
      </c>
      <c r="G9" s="18" t="s">
        <v>22</v>
      </c>
      <c r="H9" s="18">
        <v>1034307600</v>
      </c>
      <c r="I9" s="12">
        <v>2000</v>
      </c>
    </row>
    <row r="10" spans="1:9">
      <c r="A10" s="10" t="s">
        <v>30</v>
      </c>
      <c r="B10" s="11">
        <v>70</v>
      </c>
      <c r="C10" s="7"/>
      <c r="D10" s="10" t="s">
        <v>14</v>
      </c>
      <c r="F10" s="18" t="s">
        <v>28</v>
      </c>
      <c r="G10" s="18">
        <v>5300</v>
      </c>
      <c r="H10" s="18" t="s">
        <v>29</v>
      </c>
      <c r="I10" s="12">
        <v>2000</v>
      </c>
    </row>
    <row r="11" spans="1:9">
      <c r="A11" s="10" t="s">
        <v>32</v>
      </c>
      <c r="B11" s="11">
        <v>140</v>
      </c>
      <c r="C11" s="7"/>
      <c r="D11" s="10" t="s">
        <v>14</v>
      </c>
      <c r="F11" s="18" t="s">
        <v>31</v>
      </c>
      <c r="G11" s="18">
        <v>12600</v>
      </c>
      <c r="H11" s="18">
        <v>1034252300</v>
      </c>
      <c r="I11" s="12"/>
    </row>
    <row r="12" spans="1:9">
      <c r="A12" s="10" t="s">
        <v>36</v>
      </c>
      <c r="B12" s="11">
        <v>130</v>
      </c>
      <c r="C12" s="7"/>
      <c r="D12" s="10" t="s">
        <v>14</v>
      </c>
      <c r="F12" s="18" t="s">
        <v>33</v>
      </c>
      <c r="G12" s="18">
        <v>3500</v>
      </c>
      <c r="H12" s="18">
        <v>1035422500</v>
      </c>
      <c r="I12" s="12">
        <v>1200</v>
      </c>
    </row>
    <row r="13" spans="1:9">
      <c r="A13" s="7" t="s">
        <v>59</v>
      </c>
      <c r="B13" s="12">
        <v>300</v>
      </c>
      <c r="C13" s="7"/>
      <c r="D13" s="7" t="s">
        <v>14</v>
      </c>
      <c r="F13" s="18" t="s">
        <v>35</v>
      </c>
      <c r="G13" s="18">
        <v>8000</v>
      </c>
      <c r="H13" s="18">
        <v>1035161200</v>
      </c>
      <c r="I13" s="12"/>
    </row>
    <row r="14" spans="1:9">
      <c r="A14" s="7" t="s">
        <v>60</v>
      </c>
      <c r="B14" s="12">
        <v>100</v>
      </c>
      <c r="C14" s="7"/>
      <c r="D14" s="7" t="s">
        <v>14</v>
      </c>
      <c r="F14" s="7"/>
      <c r="G14" s="7"/>
      <c r="H14" s="18" t="s">
        <v>37</v>
      </c>
      <c r="I14" s="12"/>
    </row>
    <row r="15" spans="1:9">
      <c r="F15" s="7"/>
      <c r="G15" s="7"/>
      <c r="H15" s="18">
        <v>1034284200</v>
      </c>
      <c r="I15" s="12" t="s">
        <v>22</v>
      </c>
    </row>
    <row r="20" spans="1:6">
      <c r="A20" s="3" t="s">
        <v>38</v>
      </c>
    </row>
    <row r="22" spans="1:6">
      <c r="A22" t="s">
        <v>39</v>
      </c>
      <c r="B22" s="6" t="s">
        <v>40</v>
      </c>
      <c r="C22" t="s">
        <v>41</v>
      </c>
      <c r="D22" t="s">
        <v>42</v>
      </c>
      <c r="E22" t="s">
        <v>43</v>
      </c>
      <c r="F22" t="s">
        <v>44</v>
      </c>
    </row>
    <row r="23" spans="1:6">
      <c r="A23">
        <v>101</v>
      </c>
      <c r="B23" s="6" t="s">
        <v>45</v>
      </c>
      <c r="C23">
        <v>1</v>
      </c>
      <c r="D23">
        <v>180</v>
      </c>
      <c r="E23">
        <v>50</v>
      </c>
      <c r="F23">
        <f>50*180</f>
        <v>9000</v>
      </c>
    </row>
    <row r="24" spans="1:6">
      <c r="A24">
        <v>102</v>
      </c>
      <c r="B24" s="6" t="s">
        <v>46</v>
      </c>
      <c r="C24">
        <v>1</v>
      </c>
      <c r="D24">
        <v>220</v>
      </c>
      <c r="E24">
        <v>78</v>
      </c>
      <c r="F24">
        <f>78*220</f>
        <v>17160</v>
      </c>
    </row>
    <row r="25" spans="1:6">
      <c r="A25">
        <v>103</v>
      </c>
      <c r="B25" s="6" t="s">
        <v>47</v>
      </c>
      <c r="C25">
        <v>1</v>
      </c>
      <c r="D25">
        <v>350</v>
      </c>
      <c r="E25">
        <v>45</v>
      </c>
      <c r="F25">
        <f>D25*E25</f>
        <v>15750</v>
      </c>
    </row>
    <row r="26" spans="1:6">
      <c r="A26">
        <v>104</v>
      </c>
      <c r="B26" s="6" t="s">
        <v>48</v>
      </c>
      <c r="C26">
        <v>1</v>
      </c>
      <c r="D26">
        <v>230</v>
      </c>
      <c r="E26">
        <v>60</v>
      </c>
      <c r="F26">
        <f>D26*E26</f>
        <v>13800</v>
      </c>
    </row>
    <row r="27" spans="1:6">
      <c r="A27">
        <v>105</v>
      </c>
      <c r="B27" s="6" t="s">
        <v>49</v>
      </c>
      <c r="C27">
        <v>1</v>
      </c>
      <c r="D27">
        <v>285</v>
      </c>
      <c r="E27">
        <v>51</v>
      </c>
      <c r="F27">
        <f>D27*E27</f>
        <v>14535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EE8C41-1A26-41BC-9DAB-E3FB9A6EC79D}"/>
</file>

<file path=customXml/itemProps2.xml><?xml version="1.0" encoding="utf-8"?>
<ds:datastoreItem xmlns:ds="http://schemas.openxmlformats.org/officeDocument/2006/customXml" ds:itemID="{9A588F78-325A-49F8-B883-89C556D2012C}"/>
</file>

<file path=customXml/itemProps3.xml><?xml version="1.0" encoding="utf-8"?>
<ds:datastoreItem xmlns:ds="http://schemas.openxmlformats.org/officeDocument/2006/customXml" ds:itemID="{738869F0-7436-40CD-90EC-48A3751CC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Joshi</dc:creator>
  <cp:keywords/>
  <dc:description/>
  <cp:lastModifiedBy/>
  <cp:revision/>
  <dcterms:created xsi:type="dcterms:W3CDTF">2026-05-27T10:49:38Z</dcterms:created>
  <dcterms:modified xsi:type="dcterms:W3CDTF">2026-07-06T10:37:56Z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